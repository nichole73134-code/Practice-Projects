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ho\Downloads\"/>
    </mc:Choice>
  </mc:AlternateContent>
  <xr:revisionPtr revIDLastSave="0" documentId="8_{0A06142C-D520-4E32-8FD9-15F02E16F798}" xr6:coauthVersionLast="47" xr6:coauthVersionMax="47" xr10:uidLastSave="{00000000-0000-0000-0000-000000000000}"/>
  <bookViews>
    <workbookView xWindow="32085" yWindow="300" windowWidth="25350" windowHeight="15540" xr2:uid="{0A08A096-C778-4D2C-8A43-5A9A433F7C28}"/>
  </bookViews>
  <sheets>
    <sheet name="OG SALES DATA" sheetId="1" r:id="rId1"/>
    <sheet name="MOVING AVERAGE" sheetId="2" r:id="rId2"/>
    <sheet name="HYPOTHESIS TESTING" sheetId="3" r:id="rId3"/>
    <sheet name="ANOVA" sheetId="4" r:id="rId4"/>
    <sheet name="COVARIANCE" sheetId="5" r:id="rId5"/>
  </sheets>
  <definedNames>
    <definedName name="_xlnm._FilterDatabase" localSheetId="1" hidden="1">'MOVING AVERAGE'!$A$1:$O$1</definedName>
  </definedNames>
  <calcPr calcId="0"/>
</workbook>
</file>

<file path=xl/calcChain.xml><?xml version="1.0" encoding="utf-8"?>
<calcChain xmlns="http://schemas.openxmlformats.org/spreadsheetml/2006/main">
  <c r="M2" i="5" l="1"/>
  <c r="K2" i="5"/>
  <c r="I2" i="5"/>
  <c r="N2" i="2"/>
  <c r="O2" i="2"/>
  <c r="P2" i="2"/>
  <c r="I4" i="2"/>
  <c r="J4" i="2"/>
  <c r="I3" i="2"/>
  <c r="J3" i="2"/>
  <c r="I2" i="2"/>
  <c r="J2" i="2"/>
  <c r="H4" i="2"/>
  <c r="H3" i="2"/>
  <c r="H2" i="2"/>
</calcChain>
</file>

<file path=xl/sharedStrings.xml><?xml version="1.0" encoding="utf-8"?>
<sst xmlns="http://schemas.openxmlformats.org/spreadsheetml/2006/main" count="163" uniqueCount="52">
  <si>
    <t>Year</t>
  </si>
  <si>
    <t>Region</t>
  </si>
  <si>
    <t>Product A Sales</t>
  </si>
  <si>
    <t>Product B Sales</t>
  </si>
  <si>
    <t>Product C Sales</t>
  </si>
  <si>
    <t>India</t>
  </si>
  <si>
    <t>USA</t>
  </si>
  <si>
    <t>Canada</t>
  </si>
  <si>
    <t>UK</t>
  </si>
  <si>
    <t>Product A Overall Sales</t>
  </si>
  <si>
    <t>Product B Overall Sales</t>
  </si>
  <si>
    <t>Product C Overall Sales</t>
  </si>
  <si>
    <t>Product B 3-year Moving Avg</t>
  </si>
  <si>
    <t>Product A 3-year moving Avg</t>
  </si>
  <si>
    <t>Product C 3-year Moving Avg</t>
  </si>
  <si>
    <t>t-Test: Paired Two Sample for Means</t>
  </si>
  <si>
    <t>Variable 1</t>
  </si>
  <si>
    <t>Variable 2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</si>
  <si>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</si>
  <si>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</si>
  <si>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</si>
  <si>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</si>
  <si>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</si>
  <si>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</si>
  <si>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</si>
  <si>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</si>
  <si>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</si>
  <si>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</si>
  <si>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</si>
  <si>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A Vs. B Comparison</t>
  </si>
  <si>
    <t>B Vs. C Comparison</t>
  </si>
  <si>
    <t>A Vs. C Comparison</t>
  </si>
  <si>
    <t>Anova: Single Factor</t>
  </si>
  <si>
    <t>SUMMARY</t>
  </si>
  <si>
    <t>Groups</t>
  </si>
  <si>
    <t>Count</t>
  </si>
  <si>
    <t>Sum</t>
  </si>
  <si>
    <t>Average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</si>
  <si>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</si>
  <si>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</si>
  <si>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</si>
  <si>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</si>
  <si>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</si>
  <si>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</si>
  <si>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</si>
  <si>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</si>
  <si>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</si>
  <si>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</si>
  <si>
    <t>Result: Reject the null hypothesis</t>
  </si>
  <si>
    <t>Product A vs Product B</t>
  </si>
  <si>
    <t>Product A vs Product C</t>
  </si>
  <si>
    <t>Product B vs Product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</si>
</sst>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33" borderId="0" xfId="0" applyFill="1"/>
    <xf numFmtId="0" fontId="0" fillId="0" borderId="0" xfId="0" applyNumberForma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0" applyNumberFormat="1" applyAlignment="1">
      <alignment vertical="center"/>
    </xf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9" fillId="0" borderId="0" xfId="0" applyFont="1"/>
    <xf numFmtId="0" fontId="16" fillId="33" borderId="0" xfId="0" applyFont="1" applyFill="1"/>
    <xf numFmtId="0" fontId="16" fillId="0" borderId="12" xfId="0" applyFont="1" applyBorder="1"/>
    <xf numFmtId="0" fontId="16" fillId="34" borderId="12" xfId="0" applyFont="1" applyFill="1" applyBorder="1"/>
    <xf numFmtId="0" fontId="0" fillId="34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 Year</a:t>
            </a:r>
            <a:r>
              <a:rPr lang="en-US" baseline="0"/>
              <a:t> Moving Averages of Overall Product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'MOVING AVERAGE'!$G$2:$G$4</c:f>
              <c:numCache>
                <c:formatCode>General</c:formatCode>
                <c:ptCount val="3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17-4ABD-A152-1AFDF86AEF5A}"/>
            </c:ext>
          </c:extLst>
        </c:ser>
        <c:ser>
          <c:idx val="1"/>
          <c:order val="1"/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'MOVING AVERAGE'!$H$2:$H$4</c:f>
              <c:numCache>
                <c:formatCode>_("$"* #,##0.00_);_("$"* \(#,##0.00\);_("$"* "-"??_);_(@_)</c:formatCode>
                <c:ptCount val="3"/>
                <c:pt idx="0">
                  <c:v>22576</c:v>
                </c:pt>
                <c:pt idx="1">
                  <c:v>25653</c:v>
                </c:pt>
                <c:pt idx="2">
                  <c:v>29281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17-4ABD-A152-1AFDF86AEF5A}"/>
            </c:ext>
          </c:extLst>
        </c:ser>
        <c:ser>
          <c:idx val="2"/>
          <c:order val="2"/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'MOVING AVERAGE'!$I$2:$I$4</c:f>
              <c:numCache>
                <c:formatCode>_("$"* #,##0.00_);_("$"* \(#,##0.00\);_("$"* "-"??_);_(@_)</c:formatCode>
                <c:ptCount val="3"/>
                <c:pt idx="0">
                  <c:v>31840</c:v>
                </c:pt>
                <c:pt idx="1">
                  <c:v>23459</c:v>
                </c:pt>
                <c:pt idx="2">
                  <c:v>21761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17-4ABD-A152-1AFDF86AEF5A}"/>
            </c:ext>
          </c:extLst>
        </c:ser>
        <c:ser>
          <c:idx val="3"/>
          <c:order val="3"/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'MOVING AVERAGE'!$J$2:$J$4</c:f>
              <c:numCache>
                <c:formatCode>_("$"* #,##0.00_);_("$"* \(#,##0.00\);_("$"* "-"??_);_(@_)</c:formatCode>
                <c:ptCount val="3"/>
                <c:pt idx="0">
                  <c:v>20864</c:v>
                </c:pt>
                <c:pt idx="1">
                  <c:v>25774</c:v>
                </c:pt>
                <c:pt idx="2">
                  <c:v>26798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17-4ABD-A152-1AFDF86AE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797499472"/>
        <c:axId val="1675505536"/>
      </c:lineChart>
      <c:catAx>
        <c:axId val="797499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Data Point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505536"/>
        <c:crosses val="autoZero"/>
        <c:auto val="1"/>
        <c:lblAlgn val="ctr"/>
        <c:lblOffset val="100"/>
        <c:noMultiLvlLbl val="0"/>
      </c:catAx>
      <c:valAx>
        <c:axId val="16755055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49947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7</xdr:row>
      <xdr:rowOff>180974</xdr:rowOff>
    </xdr:from>
    <xdr:to>
      <xdr:col>18</xdr:col>
      <xdr:colOff>0</xdr:colOff>
      <xdr:row>24</xdr:row>
      <xdr:rowOff>152399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3FDC07B-33D0-CAFD-D5C3-C3F63E9E0E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EF3F3-BC4D-46F4-B708-825CF5F24943}">
  <dimension ref="A1:E13"/>
  <sheetViews>
    <sheetView tabSelected="1" workbookViewId="0">
      <selection activeCell="F25" sqref="F2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2019</v>
      </c>
      <c r="B2" t="s">
        <v>5</v>
      </c>
      <c r="C2">
        <v>5674</v>
      </c>
      <c r="D2">
        <v>6721</v>
      </c>
      <c r="E2">
        <v>3947</v>
      </c>
    </row>
    <row r="3" spans="1:5" x14ac:dyDescent="0.25">
      <c r="A3">
        <v>2019</v>
      </c>
      <c r="B3" t="s">
        <v>6</v>
      </c>
      <c r="C3">
        <v>3598</v>
      </c>
      <c r="D3">
        <v>9374</v>
      </c>
      <c r="E3">
        <v>7272</v>
      </c>
    </row>
    <row r="4" spans="1:5" x14ac:dyDescent="0.25">
      <c r="A4">
        <v>2019</v>
      </c>
      <c r="B4" t="s">
        <v>7</v>
      </c>
      <c r="C4">
        <v>8765</v>
      </c>
      <c r="D4">
        <v>9272</v>
      </c>
      <c r="E4">
        <v>5100</v>
      </c>
    </row>
    <row r="5" spans="1:5" x14ac:dyDescent="0.25">
      <c r="A5">
        <v>2019</v>
      </c>
      <c r="B5" t="s">
        <v>8</v>
      </c>
      <c r="C5">
        <v>4539</v>
      </c>
      <c r="D5">
        <v>6473</v>
      </c>
      <c r="E5">
        <v>4545</v>
      </c>
    </row>
    <row r="6" spans="1:5" x14ac:dyDescent="0.25">
      <c r="A6">
        <v>2020</v>
      </c>
      <c r="B6" t="s">
        <v>5</v>
      </c>
      <c r="C6">
        <v>6238</v>
      </c>
      <c r="D6">
        <v>3948</v>
      </c>
      <c r="E6">
        <v>6512</v>
      </c>
    </row>
    <row r="7" spans="1:5" x14ac:dyDescent="0.25">
      <c r="A7">
        <v>2020</v>
      </c>
      <c r="B7" t="s">
        <v>6</v>
      </c>
      <c r="C7">
        <v>8728</v>
      </c>
      <c r="D7">
        <v>7972</v>
      </c>
      <c r="E7">
        <v>5623</v>
      </c>
    </row>
    <row r="8" spans="1:5" x14ac:dyDescent="0.25">
      <c r="A8">
        <v>2020</v>
      </c>
      <c r="B8" t="s">
        <v>7</v>
      </c>
      <c r="C8">
        <v>4589</v>
      </c>
      <c r="D8">
        <v>9224</v>
      </c>
      <c r="E8">
        <v>8639</v>
      </c>
    </row>
    <row r="9" spans="1:5" x14ac:dyDescent="0.25">
      <c r="A9">
        <v>2020</v>
      </c>
      <c r="B9" t="s">
        <v>8</v>
      </c>
      <c r="C9">
        <v>6098</v>
      </c>
      <c r="D9">
        <v>2315</v>
      </c>
      <c r="E9">
        <v>5000</v>
      </c>
    </row>
    <row r="10" spans="1:5" x14ac:dyDescent="0.25">
      <c r="A10">
        <v>2021</v>
      </c>
      <c r="B10" t="s">
        <v>5</v>
      </c>
      <c r="C10">
        <v>7312</v>
      </c>
      <c r="D10">
        <v>8665</v>
      </c>
      <c r="E10">
        <v>5041</v>
      </c>
    </row>
    <row r="11" spans="1:5" x14ac:dyDescent="0.25">
      <c r="A11">
        <v>2021</v>
      </c>
      <c r="B11" t="s">
        <v>6</v>
      </c>
      <c r="C11">
        <v>8361</v>
      </c>
      <c r="D11">
        <v>4629</v>
      </c>
      <c r="E11">
        <v>7371</v>
      </c>
    </row>
    <row r="12" spans="1:5" x14ac:dyDescent="0.25">
      <c r="A12">
        <v>2021</v>
      </c>
      <c r="B12" t="s">
        <v>7</v>
      </c>
      <c r="C12">
        <v>5343</v>
      </c>
      <c r="D12">
        <v>5126</v>
      </c>
      <c r="E12">
        <v>6777</v>
      </c>
    </row>
    <row r="13" spans="1:5" x14ac:dyDescent="0.25">
      <c r="A13">
        <v>2021</v>
      </c>
      <c r="B13" t="s">
        <v>8</v>
      </c>
      <c r="C13">
        <v>8265</v>
      </c>
      <c r="D13">
        <v>3341</v>
      </c>
      <c r="E13">
        <v>7609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DE137-E8B4-4113-8012-589842C1319F}">
  <dimension ref="A1:P13"/>
  <sheetViews>
    <sheetView topLeftCell="D1" workbookViewId="0">
      <selection activeCell="N29" sqref="N29"/>
    </sheetView>
  </sheetViews>
  <sheetFormatPr defaultRowHeight="15" x14ac:dyDescent="0.25"/>
  <cols>
    <col min="1" max="2" width="9.140625" style="4"/>
    <col min="3" max="5" width="14.7109375" style="4" bestFit="1" customWidth="1"/>
    <col min="6" max="6" width="2.85546875" style="4" customWidth="1"/>
    <col min="7" max="7" width="21.7109375" style="2" customWidth="1"/>
    <col min="8" max="10" width="21.7109375" style="4" bestFit="1" customWidth="1"/>
    <col min="11" max="11" width="3.7109375" style="4" customWidth="1"/>
    <col min="12" max="12" width="9.42578125" style="4" bestFit="1" customWidth="1"/>
    <col min="13" max="13" width="25.85546875" style="4" bestFit="1" customWidth="1"/>
    <col min="14" max="14" width="26" style="4" bestFit="1" customWidth="1"/>
    <col min="15" max="15" width="30" style="4" bestFit="1" customWidth="1"/>
    <col min="16" max="16384" width="9.140625" style="4"/>
  </cols>
  <sheetData>
    <row r="1" spans="1:1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/>
      <c r="G1" s="2" t="s">
        <v>0</v>
      </c>
      <c r="H1" s="4" t="s">
        <v>9</v>
      </c>
      <c r="I1" s="4" t="s">
        <v>10</v>
      </c>
      <c r="J1" s="4" t="s">
        <v>11</v>
      </c>
      <c r="K1" s="5"/>
      <c r="L1" s="4" t="s">
        <v>0</v>
      </c>
      <c r="M1" s="4" t="s">
        <v>13</v>
      </c>
      <c r="N1" s="4" t="s">
        <v>12</v>
      </c>
      <c r="O1" s="4" t="s">
        <v>14</v>
      </c>
    </row>
    <row r="2" spans="1:16" x14ac:dyDescent="0.25">
      <c r="A2" s="4">
        <v>2019</v>
      </c>
      <c r="B2" s="4" t="s">
        <v>5</v>
      </c>
      <c r="C2" s="6">
        <v>5674</v>
      </c>
      <c r="D2" s="6">
        <v>6721</v>
      </c>
      <c r="E2" s="6">
        <v>3947</v>
      </c>
      <c r="F2" s="5"/>
      <c r="G2" s="2">
        <v>2019</v>
      </c>
      <c r="H2" s="8">
        <f>SUM(C2:C5)</f>
        <v>22576</v>
      </c>
      <c r="I2" s="8">
        <f t="shared" ref="I2:J2" si="0">SUM(D2:D5)</f>
        <v>31840</v>
      </c>
      <c r="J2" s="8">
        <f t="shared" si="0"/>
        <v>20864</v>
      </c>
      <c r="K2" s="1"/>
      <c r="L2" s="4">
        <v>2019</v>
      </c>
      <c r="M2" t="e">
        <v>#N/A</v>
      </c>
      <c r="N2">
        <f t="shared" ref="N2:P2" si="1">AVERAGE(G2:H2)</f>
        <v>12297.5</v>
      </c>
      <c r="O2">
        <f t="shared" si="1"/>
        <v>27208</v>
      </c>
      <c r="P2">
        <f t="shared" si="1"/>
        <v>26352</v>
      </c>
    </row>
    <row r="3" spans="1:16" x14ac:dyDescent="0.25">
      <c r="A3" s="4">
        <v>2019</v>
      </c>
      <c r="B3" s="4" t="s">
        <v>6</v>
      </c>
      <c r="C3" s="6">
        <v>3598</v>
      </c>
      <c r="D3" s="6">
        <v>9374</v>
      </c>
      <c r="E3" s="6">
        <v>7272</v>
      </c>
      <c r="F3" s="5"/>
      <c r="G3" s="3">
        <v>2020</v>
      </c>
      <c r="H3" s="7">
        <f>SUM(C6:C9)</f>
        <v>25653</v>
      </c>
      <c r="I3" s="7">
        <f t="shared" ref="I3:J3" si="2">SUM(D6:D9)</f>
        <v>23459</v>
      </c>
      <c r="J3" s="7">
        <f t="shared" si="2"/>
        <v>25774</v>
      </c>
      <c r="K3" s="5"/>
      <c r="L3" s="4">
        <v>2020</v>
      </c>
    </row>
    <row r="4" spans="1:16" x14ac:dyDescent="0.25">
      <c r="A4" s="4">
        <v>2019</v>
      </c>
      <c r="B4" s="4" t="s">
        <v>7</v>
      </c>
      <c r="C4" s="6">
        <v>8765</v>
      </c>
      <c r="D4" s="6">
        <v>9272</v>
      </c>
      <c r="E4" s="6">
        <v>5100</v>
      </c>
      <c r="F4" s="5"/>
      <c r="G4" s="3">
        <v>2021</v>
      </c>
      <c r="H4" s="7">
        <f>SUM(C10:C13)</f>
        <v>29281</v>
      </c>
      <c r="I4" s="7">
        <f t="shared" ref="I4:J4" si="3">SUM(D10:D13)</f>
        <v>21761</v>
      </c>
      <c r="J4" s="7">
        <f t="shared" si="3"/>
        <v>26798</v>
      </c>
      <c r="K4" s="5"/>
      <c r="L4" s="4">
        <v>2021</v>
      </c>
    </row>
    <row r="5" spans="1:16" x14ac:dyDescent="0.25">
      <c r="A5" s="4">
        <v>2019</v>
      </c>
      <c r="B5" s="4" t="s">
        <v>8</v>
      </c>
      <c r="C5" s="6">
        <v>4539</v>
      </c>
      <c r="D5" s="6">
        <v>6473</v>
      </c>
      <c r="E5" s="6">
        <v>4545</v>
      </c>
      <c r="F5" s="5"/>
      <c r="G5" s="3"/>
      <c r="K5" s="5"/>
    </row>
    <row r="6" spans="1:16" x14ac:dyDescent="0.25">
      <c r="A6" s="4">
        <v>2020</v>
      </c>
      <c r="B6" s="4" t="s">
        <v>5</v>
      </c>
      <c r="C6" s="6">
        <v>6238</v>
      </c>
      <c r="D6" s="6">
        <v>3948</v>
      </c>
      <c r="E6" s="6">
        <v>6512</v>
      </c>
      <c r="F6" s="5"/>
      <c r="K6" s="5"/>
    </row>
    <row r="7" spans="1:16" x14ac:dyDescent="0.25">
      <c r="A7" s="4">
        <v>2020</v>
      </c>
      <c r="B7" s="4" t="s">
        <v>6</v>
      </c>
      <c r="C7" s="6">
        <v>8728</v>
      </c>
      <c r="D7" s="6">
        <v>7972</v>
      </c>
      <c r="E7" s="6">
        <v>5623</v>
      </c>
      <c r="F7" s="5"/>
      <c r="K7" s="5"/>
    </row>
    <row r="8" spans="1:16" x14ac:dyDescent="0.25">
      <c r="A8" s="4">
        <v>2020</v>
      </c>
      <c r="B8" s="4" t="s">
        <v>7</v>
      </c>
      <c r="C8" s="6">
        <v>4589</v>
      </c>
      <c r="D8" s="6">
        <v>9224</v>
      </c>
      <c r="E8" s="6">
        <v>8639</v>
      </c>
      <c r="F8" s="5"/>
      <c r="K8" s="5"/>
    </row>
    <row r="9" spans="1:16" x14ac:dyDescent="0.25">
      <c r="A9" s="4">
        <v>2020</v>
      </c>
      <c r="B9" s="4" t="s">
        <v>8</v>
      </c>
      <c r="C9" s="6">
        <v>6098</v>
      </c>
      <c r="D9" s="6">
        <v>2315</v>
      </c>
      <c r="E9" s="6">
        <v>5000</v>
      </c>
      <c r="F9" s="5"/>
      <c r="K9" s="5"/>
    </row>
    <row r="10" spans="1:16" x14ac:dyDescent="0.25">
      <c r="A10" s="4">
        <v>2021</v>
      </c>
      <c r="B10" s="4" t="s">
        <v>5</v>
      </c>
      <c r="C10" s="6">
        <v>7312</v>
      </c>
      <c r="D10" s="6">
        <v>8665</v>
      </c>
      <c r="E10" s="6">
        <v>5041</v>
      </c>
      <c r="F10" s="5"/>
      <c r="K10" s="5"/>
      <c r="L10"/>
      <c r="M10"/>
      <c r="N10"/>
      <c r="O10"/>
    </row>
    <row r="11" spans="1:16" x14ac:dyDescent="0.25">
      <c r="A11" s="4">
        <v>2021</v>
      </c>
      <c r="B11" s="4" t="s">
        <v>6</v>
      </c>
      <c r="C11" s="6">
        <v>8361</v>
      </c>
      <c r="D11" s="6">
        <v>4629</v>
      </c>
      <c r="E11" s="6">
        <v>7371</v>
      </c>
      <c r="F11" s="5"/>
      <c r="K11" s="5"/>
    </row>
    <row r="12" spans="1:16" x14ac:dyDescent="0.25">
      <c r="A12" s="4">
        <v>2021</v>
      </c>
      <c r="B12" s="4" t="s">
        <v>7</v>
      </c>
      <c r="C12" s="6">
        <v>5343</v>
      </c>
      <c r="D12" s="6">
        <v>5126</v>
      </c>
      <c r="E12" s="6">
        <v>6777</v>
      </c>
      <c r="F12" s="5"/>
      <c r="K12" s="5"/>
    </row>
    <row r="13" spans="1:16" x14ac:dyDescent="0.25">
      <c r="A13" s="4">
        <v>2021</v>
      </c>
      <c r="B13" s="4" t="s">
        <v>8</v>
      </c>
      <c r="C13" s="6">
        <v>8265</v>
      </c>
      <c r="D13" s="6">
        <v>3341</v>
      </c>
      <c r="E13" s="6">
        <v>7609</v>
      </c>
      <c r="F13" s="5"/>
      <c r="K13" s="5"/>
    </row>
  </sheetData>
  <pageMargins left="0.7" right="0.7" top="0.75" bottom="0.75" header="0.3" footer="0.3"/>
  <ignoredErrors>
    <ignoredError sqref="H2 H3:H4 I2:J4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FBA78-A828-42E7-B1C2-47B1CEDAEE7B}">
  <dimension ref="A1:P34"/>
  <sheetViews>
    <sheetView workbookViewId="0">
      <selection activeCell="N31" sqref="N31"/>
    </sheetView>
  </sheetViews>
  <sheetFormatPr defaultRowHeight="15" x14ac:dyDescent="0.25"/>
  <cols>
    <col min="9" max="9" width="33.42578125" bestFit="1" customWidth="1"/>
    <col min="11" max="11" width="19" customWidth="1"/>
    <col min="14" max="14" width="33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I1" s="13" t="s">
        <v>29</v>
      </c>
    </row>
    <row r="2" spans="1:16" x14ac:dyDescent="0.25">
      <c r="A2">
        <v>2019</v>
      </c>
      <c r="B2" t="s">
        <v>5</v>
      </c>
      <c r="C2">
        <v>5674</v>
      </c>
      <c r="D2">
        <v>6721</v>
      </c>
      <c r="E2">
        <v>3947</v>
      </c>
      <c r="I2" t="s">
        <v>15</v>
      </c>
    </row>
    <row r="3" spans="1:16" ht="15.75" thickBot="1" x14ac:dyDescent="0.3">
      <c r="A3">
        <v>2019</v>
      </c>
      <c r="B3" t="s">
        <v>6</v>
      </c>
      <c r="C3">
        <v>3598</v>
      </c>
      <c r="D3">
        <v>9374</v>
      </c>
      <c r="E3">
        <v>7272</v>
      </c>
    </row>
    <row r="4" spans="1:16" x14ac:dyDescent="0.25">
      <c r="A4">
        <v>2019</v>
      </c>
      <c r="B4" t="s">
        <v>7</v>
      </c>
      <c r="C4">
        <v>8765</v>
      </c>
      <c r="D4">
        <v>9272</v>
      </c>
      <c r="E4">
        <v>5100</v>
      </c>
      <c r="I4" s="11"/>
      <c r="J4" s="11" t="s">
        <v>16</v>
      </c>
      <c r="K4" s="11" t="s">
        <v>17</v>
      </c>
    </row>
    <row r="5" spans="1:16" x14ac:dyDescent="0.25">
      <c r="A5">
        <v>2019</v>
      </c>
      <c r="B5" t="s">
        <v>8</v>
      </c>
      <c r="C5">
        <v>4539</v>
      </c>
      <c r="D5">
        <v>6473</v>
      </c>
      <c r="E5">
        <v>4545</v>
      </c>
      <c r="I5" s="9" t="s">
        <v>18</v>
      </c>
      <c r="J5" s="9">
        <v>6459.166666666667</v>
      </c>
      <c r="K5" s="9">
        <v>6421.666666666667</v>
      </c>
    </row>
    <row r="6" spans="1:16" x14ac:dyDescent="0.25">
      <c r="A6">
        <v>2020</v>
      </c>
      <c r="B6" t="s">
        <v>5</v>
      </c>
      <c r="C6">
        <v>6238</v>
      </c>
      <c r="D6">
        <v>3948</v>
      </c>
      <c r="E6">
        <v>6512</v>
      </c>
      <c r="I6" s="9" t="s">
        <v>19</v>
      </c>
      <c r="J6" s="9">
        <v>3225664.515151517</v>
      </c>
      <c r="K6" s="9">
        <v>6326246.2424242441</v>
      </c>
    </row>
    <row r="7" spans="1:16" x14ac:dyDescent="0.25">
      <c r="A7">
        <v>2020</v>
      </c>
      <c r="B7" t="s">
        <v>6</v>
      </c>
      <c r="C7">
        <v>8728</v>
      </c>
      <c r="D7">
        <v>7972</v>
      </c>
      <c r="E7">
        <v>5623</v>
      </c>
      <c r="I7" s="9" t="s">
        <v>20</v>
      </c>
      <c r="J7" s="9">
        <v>12</v>
      </c>
      <c r="K7" s="9">
        <v>12</v>
      </c>
    </row>
    <row r="8" spans="1:16" x14ac:dyDescent="0.25">
      <c r="A8">
        <v>2020</v>
      </c>
      <c r="B8" t="s">
        <v>7</v>
      </c>
      <c r="C8">
        <v>4589</v>
      </c>
      <c r="D8">
        <v>9224</v>
      </c>
      <c r="E8">
        <v>8639</v>
      </c>
      <c r="I8" s="9" t="s">
        <v>21</v>
      </c>
      <c r="J8" s="9">
        <v>-0.15122686166151589</v>
      </c>
      <c r="K8" s="9"/>
    </row>
    <row r="9" spans="1:16" x14ac:dyDescent="0.25">
      <c r="A9">
        <v>2020</v>
      </c>
      <c r="B9" t="s">
        <v>8</v>
      </c>
      <c r="C9">
        <v>6098</v>
      </c>
      <c r="D9">
        <v>2315</v>
      </c>
      <c r="E9">
        <v>5000</v>
      </c>
      <c r="I9" s="9" t="s">
        <v>22</v>
      </c>
      <c r="J9" s="9">
        <v>0</v>
      </c>
      <c r="K9" s="9"/>
    </row>
    <row r="10" spans="1:16" x14ac:dyDescent="0.25">
      <c r="A10">
        <v>2021</v>
      </c>
      <c r="B10" t="s">
        <v>5</v>
      </c>
      <c r="C10">
        <v>7312</v>
      </c>
      <c r="D10">
        <v>8665</v>
      </c>
      <c r="E10">
        <v>5041</v>
      </c>
      <c r="I10" s="9" t="s">
        <v>23</v>
      </c>
      <c r="J10" s="9">
        <v>11</v>
      </c>
      <c r="K10" s="9"/>
      <c r="N10" s="13" t="s">
        <v>31</v>
      </c>
    </row>
    <row r="11" spans="1:16" x14ac:dyDescent="0.25">
      <c r="A11">
        <v>2021</v>
      </c>
      <c r="B11" t="s">
        <v>6</v>
      </c>
      <c r="C11">
        <v>8361</v>
      </c>
      <c r="D11">
        <v>4629</v>
      </c>
      <c r="E11">
        <v>7371</v>
      </c>
      <c r="I11" s="9" t="s">
        <v>24</v>
      </c>
      <c r="J11" s="9">
        <v>3.9313927724826288E-2</v>
      </c>
      <c r="K11" s="9"/>
      <c r="N11" t="s">
        <v>15</v>
      </c>
    </row>
    <row r="12" spans="1:16" ht="15.75" thickBot="1" x14ac:dyDescent="0.3">
      <c r="A12">
        <v>2021</v>
      </c>
      <c r="B12" t="s">
        <v>7</v>
      </c>
      <c r="C12">
        <v>5343</v>
      </c>
      <c r="D12">
        <v>5126</v>
      </c>
      <c r="E12">
        <v>6777</v>
      </c>
      <c r="I12" s="9" t="s">
        <v>25</v>
      </c>
      <c r="J12" s="9">
        <v>0.48467227814357805</v>
      </c>
      <c r="K12" s="9"/>
    </row>
    <row r="13" spans="1:16" x14ac:dyDescent="0.25">
      <c r="A13">
        <v>2021</v>
      </c>
      <c r="B13" t="s">
        <v>8</v>
      </c>
      <c r="C13">
        <v>8265</v>
      </c>
      <c r="D13">
        <v>3341</v>
      </c>
      <c r="E13">
        <v>7609</v>
      </c>
      <c r="I13" s="9" t="s">
        <v>26</v>
      </c>
      <c r="J13" s="9">
        <v>1.7958848187040437</v>
      </c>
      <c r="K13" s="9"/>
      <c r="N13" s="11"/>
      <c r="O13" s="11" t="s">
        <v>16</v>
      </c>
      <c r="P13" s="11" t="s">
        <v>17</v>
      </c>
    </row>
    <row r="14" spans="1:16" x14ac:dyDescent="0.25">
      <c r="I14" s="9" t="s">
        <v>27</v>
      </c>
      <c r="J14" s="9">
        <v>0.9693445562871561</v>
      </c>
      <c r="K14" s="9"/>
      <c r="N14" s="9" t="s">
        <v>18</v>
      </c>
      <c r="O14" s="9">
        <v>6459.166666666667</v>
      </c>
      <c r="P14" s="9">
        <v>6119.666666666667</v>
      </c>
    </row>
    <row r="15" spans="1:16" ht="15.75" thickBot="1" x14ac:dyDescent="0.3">
      <c r="I15" s="10" t="s">
        <v>28</v>
      </c>
      <c r="J15" s="10">
        <v>2.2009851600916384</v>
      </c>
      <c r="K15" s="10"/>
      <c r="N15" s="9" t="s">
        <v>19</v>
      </c>
      <c r="O15" s="9">
        <v>3225664.515151517</v>
      </c>
      <c r="P15" s="9">
        <v>2086227.515151517</v>
      </c>
    </row>
    <row r="16" spans="1:16" x14ac:dyDescent="0.25">
      <c r="N16" s="9" t="s">
        <v>20</v>
      </c>
      <c r="O16" s="9">
        <v>12</v>
      </c>
      <c r="P16" s="9">
        <v>12</v>
      </c>
    </row>
    <row r="17" spans="9:16" x14ac:dyDescent="0.25">
      <c r="N17" s="9" t="s">
        <v>21</v>
      </c>
      <c r="O17" s="9">
        <v>-0.10596628148938629</v>
      </c>
      <c r="P17" s="9"/>
    </row>
    <row r="18" spans="9:16" x14ac:dyDescent="0.25">
      <c r="N18" s="9" t="s">
        <v>22</v>
      </c>
      <c r="O18" s="9">
        <v>0</v>
      </c>
      <c r="P18" s="9"/>
    </row>
    <row r="19" spans="9:16" x14ac:dyDescent="0.25">
      <c r="N19" s="9" t="s">
        <v>23</v>
      </c>
      <c r="O19" s="9">
        <v>11</v>
      </c>
      <c r="P19" s="9"/>
    </row>
    <row r="20" spans="9:16" x14ac:dyDescent="0.25">
      <c r="I20" s="13" t="s">
        <v>30</v>
      </c>
      <c r="N20" s="9" t="s">
        <v>24</v>
      </c>
      <c r="O20" s="9">
        <v>0.48575768723586321</v>
      </c>
      <c r="P20" s="9"/>
    </row>
    <row r="21" spans="9:16" x14ac:dyDescent="0.25">
      <c r="I21" t="s">
        <v>15</v>
      </c>
      <c r="N21" s="9" t="s">
        <v>25</v>
      </c>
      <c r="O21" s="9">
        <v>0.31833514191290468</v>
      </c>
      <c r="P21" s="9"/>
    </row>
    <row r="22" spans="9:16" ht="15.75" thickBot="1" x14ac:dyDescent="0.3">
      <c r="N22" s="9" t="s">
        <v>26</v>
      </c>
      <c r="O22" s="9">
        <v>1.7958848187040437</v>
      </c>
      <c r="P22" s="9"/>
    </row>
    <row r="23" spans="9:16" x14ac:dyDescent="0.25">
      <c r="I23" s="11"/>
      <c r="J23" s="11" t="s">
        <v>16</v>
      </c>
      <c r="K23" s="11" t="s">
        <v>17</v>
      </c>
      <c r="N23" s="9" t="s">
        <v>27</v>
      </c>
      <c r="O23" s="9">
        <v>0.63667028382580937</v>
      </c>
      <c r="P23" s="9"/>
    </row>
    <row r="24" spans="9:16" ht="15.75" thickBot="1" x14ac:dyDescent="0.3">
      <c r="I24" s="9" t="s">
        <v>18</v>
      </c>
      <c r="J24" s="9">
        <v>6421.666666666667</v>
      </c>
      <c r="K24" s="9">
        <v>6119.666666666667</v>
      </c>
      <c r="N24" s="10" t="s">
        <v>28</v>
      </c>
      <c r="O24" s="10">
        <v>2.2009851600916384</v>
      </c>
      <c r="P24" s="10"/>
    </row>
    <row r="25" spans="9:16" x14ac:dyDescent="0.25">
      <c r="I25" s="9" t="s">
        <v>19</v>
      </c>
      <c r="J25" s="9">
        <v>6326246.2424242441</v>
      </c>
      <c r="K25" s="9">
        <v>2086227.515151517</v>
      </c>
    </row>
    <row r="26" spans="9:16" x14ac:dyDescent="0.25">
      <c r="I26" s="9" t="s">
        <v>20</v>
      </c>
      <c r="J26" s="9">
        <v>12</v>
      </c>
      <c r="K26" s="9">
        <v>12</v>
      </c>
    </row>
    <row r="27" spans="9:16" x14ac:dyDescent="0.25">
      <c r="I27" s="9" t="s">
        <v>21</v>
      </c>
      <c r="J27" s="9">
        <v>-1.0528776405318329E-2</v>
      </c>
      <c r="K27" s="9"/>
    </row>
    <row r="28" spans="9:16" x14ac:dyDescent="0.25">
      <c r="I28" s="9" t="s">
        <v>22</v>
      </c>
      <c r="J28" s="9">
        <v>0</v>
      </c>
      <c r="K28" s="9"/>
    </row>
    <row r="29" spans="9:16" x14ac:dyDescent="0.25">
      <c r="I29" s="9" t="s">
        <v>23</v>
      </c>
      <c r="J29" s="9">
        <v>11</v>
      </c>
      <c r="K29" s="9"/>
    </row>
    <row r="30" spans="9:16" x14ac:dyDescent="0.25">
      <c r="I30" s="9" t="s">
        <v>24</v>
      </c>
      <c r="J30" s="9">
        <v>0.35906243265886562</v>
      </c>
      <c r="K30" s="9"/>
    </row>
    <row r="31" spans="9:16" x14ac:dyDescent="0.25">
      <c r="I31" s="9" t="s">
        <v>25</v>
      </c>
      <c r="J31" s="9">
        <v>0.36317277211346483</v>
      </c>
      <c r="K31" s="9"/>
    </row>
    <row r="32" spans="9:16" x14ac:dyDescent="0.25">
      <c r="I32" s="9" t="s">
        <v>26</v>
      </c>
      <c r="J32" s="9">
        <v>1.7958848187040437</v>
      </c>
      <c r="K32" s="9"/>
    </row>
    <row r="33" spans="9:11" x14ac:dyDescent="0.25">
      <c r="I33" s="9" t="s">
        <v>27</v>
      </c>
      <c r="J33" s="9">
        <v>0.72634554422692965</v>
      </c>
      <c r="K33" s="9"/>
    </row>
    <row r="34" spans="9:11" ht="15.75" thickBot="1" x14ac:dyDescent="0.3">
      <c r="I34" s="10" t="s">
        <v>28</v>
      </c>
      <c r="J34" s="10">
        <v>2.2009851600916384</v>
      </c>
      <c r="K34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66BD6-C413-4259-AD7F-FBFD358F1A16}">
  <dimension ref="A1:P22"/>
  <sheetViews>
    <sheetView workbookViewId="0">
      <selection activeCell="M34" sqref="M34"/>
    </sheetView>
  </sheetViews>
  <sheetFormatPr defaultRowHeight="15" x14ac:dyDescent="0.25"/>
  <cols>
    <col min="10" max="10" width="30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6" x14ac:dyDescent="0.25">
      <c r="A2">
        <v>2019</v>
      </c>
      <c r="B2" t="s">
        <v>5</v>
      </c>
      <c r="C2">
        <v>5674</v>
      </c>
      <c r="D2">
        <v>6721</v>
      </c>
      <c r="E2">
        <v>3947</v>
      </c>
    </row>
    <row r="3" spans="1:16" x14ac:dyDescent="0.25">
      <c r="A3">
        <v>2019</v>
      </c>
      <c r="B3" t="s">
        <v>6</v>
      </c>
      <c r="C3">
        <v>3598</v>
      </c>
      <c r="D3">
        <v>9374</v>
      </c>
      <c r="E3">
        <v>7272</v>
      </c>
    </row>
    <row r="4" spans="1:16" x14ac:dyDescent="0.25">
      <c r="A4">
        <v>2019</v>
      </c>
      <c r="B4" t="s">
        <v>7</v>
      </c>
      <c r="C4">
        <v>8765</v>
      </c>
      <c r="D4">
        <v>9272</v>
      </c>
      <c r="E4">
        <v>5100</v>
      </c>
    </row>
    <row r="5" spans="1:16" x14ac:dyDescent="0.25">
      <c r="A5">
        <v>2019</v>
      </c>
      <c r="B5" t="s">
        <v>8</v>
      </c>
      <c r="C5">
        <v>4539</v>
      </c>
      <c r="D5">
        <v>6473</v>
      </c>
      <c r="E5">
        <v>4545</v>
      </c>
      <c r="J5" s="12" t="s">
        <v>32</v>
      </c>
    </row>
    <row r="6" spans="1:16" x14ac:dyDescent="0.25">
      <c r="A6">
        <v>2020</v>
      </c>
      <c r="B6" t="s">
        <v>5</v>
      </c>
      <c r="C6">
        <v>6238</v>
      </c>
      <c r="D6">
        <v>3948</v>
      </c>
      <c r="E6">
        <v>6512</v>
      </c>
    </row>
    <row r="7" spans="1:16" ht="15.75" thickBot="1" x14ac:dyDescent="0.3">
      <c r="A7">
        <v>2020</v>
      </c>
      <c r="B7" t="s">
        <v>6</v>
      </c>
      <c r="C7">
        <v>8728</v>
      </c>
      <c r="D7">
        <v>7972</v>
      </c>
      <c r="E7">
        <v>5623</v>
      </c>
      <c r="J7" t="s">
        <v>33</v>
      </c>
    </row>
    <row r="8" spans="1:16" x14ac:dyDescent="0.25">
      <c r="A8">
        <v>2020</v>
      </c>
      <c r="B8" t="s">
        <v>7</v>
      </c>
      <c r="C8">
        <v>4589</v>
      </c>
      <c r="D8">
        <v>9224</v>
      </c>
      <c r="E8">
        <v>8639</v>
      </c>
      <c r="J8" s="11" t="s">
        <v>34</v>
      </c>
      <c r="K8" s="11" t="s">
        <v>35</v>
      </c>
      <c r="L8" s="11" t="s">
        <v>36</v>
      </c>
      <c r="M8" s="11" t="s">
        <v>37</v>
      </c>
      <c r="N8" s="11" t="s">
        <v>19</v>
      </c>
    </row>
    <row r="9" spans="1:16" x14ac:dyDescent="0.25">
      <c r="A9">
        <v>2020</v>
      </c>
      <c r="B9" t="s">
        <v>8</v>
      </c>
      <c r="C9">
        <v>6098</v>
      </c>
      <c r="D9">
        <v>2315</v>
      </c>
      <c r="E9">
        <v>5000</v>
      </c>
      <c r="J9" s="9" t="s">
        <v>2</v>
      </c>
      <c r="K9" s="9">
        <v>12</v>
      </c>
      <c r="L9" s="9">
        <v>77510</v>
      </c>
      <c r="M9" s="9">
        <v>6459.166666666667</v>
      </c>
      <c r="N9" s="9">
        <v>3225664.515151517</v>
      </c>
    </row>
    <row r="10" spans="1:16" x14ac:dyDescent="0.25">
      <c r="A10">
        <v>2021</v>
      </c>
      <c r="B10" t="s">
        <v>5</v>
      </c>
      <c r="C10">
        <v>7312</v>
      </c>
      <c r="D10">
        <v>8665</v>
      </c>
      <c r="E10">
        <v>5041</v>
      </c>
      <c r="J10" s="9" t="s">
        <v>3</v>
      </c>
      <c r="K10" s="9">
        <v>12</v>
      </c>
      <c r="L10" s="9">
        <v>77060</v>
      </c>
      <c r="M10" s="9">
        <v>6421.666666666667</v>
      </c>
      <c r="N10" s="9">
        <v>6326246.2424242441</v>
      </c>
    </row>
    <row r="11" spans="1:16" ht="15.75" thickBot="1" x14ac:dyDescent="0.3">
      <c r="A11">
        <v>2021</v>
      </c>
      <c r="B11" t="s">
        <v>6</v>
      </c>
      <c r="C11">
        <v>8361</v>
      </c>
      <c r="D11">
        <v>4629</v>
      </c>
      <c r="E11">
        <v>7371</v>
      </c>
      <c r="J11" s="10" t="s">
        <v>4</v>
      </c>
      <c r="K11" s="10">
        <v>12</v>
      </c>
      <c r="L11" s="10">
        <v>73436</v>
      </c>
      <c r="M11" s="10">
        <v>6119.666666666667</v>
      </c>
      <c r="N11" s="10">
        <v>2086227.515151517</v>
      </c>
    </row>
    <row r="12" spans="1:16" x14ac:dyDescent="0.25">
      <c r="A12">
        <v>2021</v>
      </c>
      <c r="B12" t="s">
        <v>7</v>
      </c>
      <c r="C12">
        <v>5343</v>
      </c>
      <c r="D12">
        <v>5126</v>
      </c>
      <c r="E12">
        <v>6777</v>
      </c>
    </row>
    <row r="13" spans="1:16" x14ac:dyDescent="0.25">
      <c r="A13">
        <v>2021</v>
      </c>
      <c r="B13" t="s">
        <v>8</v>
      </c>
      <c r="C13">
        <v>8265</v>
      </c>
      <c r="D13">
        <v>3341</v>
      </c>
      <c r="E13">
        <v>7609</v>
      </c>
    </row>
    <row r="14" spans="1:16" ht="15.75" thickBot="1" x14ac:dyDescent="0.3">
      <c r="J14" t="s">
        <v>38</v>
      </c>
    </row>
    <row r="15" spans="1:16" x14ac:dyDescent="0.25">
      <c r="J15" s="11" t="s">
        <v>39</v>
      </c>
      <c r="K15" s="11" t="s">
        <v>40</v>
      </c>
      <c r="L15" s="11" t="s">
        <v>23</v>
      </c>
      <c r="M15" s="11" t="s">
        <v>41</v>
      </c>
      <c r="N15" s="11" t="s">
        <v>42</v>
      </c>
      <c r="O15" s="11" t="s">
        <v>43</v>
      </c>
      <c r="P15" s="11" t="s">
        <v>44</v>
      </c>
    </row>
    <row r="16" spans="1:16" x14ac:dyDescent="0.25">
      <c r="J16" s="9" t="s">
        <v>45</v>
      </c>
      <c r="K16" s="9">
        <v>831481.9999999851</v>
      </c>
      <c r="L16" s="9">
        <v>2</v>
      </c>
      <c r="M16" s="9">
        <v>415740.99999999255</v>
      </c>
      <c r="N16" s="9">
        <v>0.10716688277563351</v>
      </c>
      <c r="O16" s="9">
        <v>0.89868709868225538</v>
      </c>
      <c r="P16" s="9">
        <v>3.2849176510382869</v>
      </c>
    </row>
    <row r="17" spans="10:16" x14ac:dyDescent="0.25">
      <c r="J17" s="9" t="s">
        <v>46</v>
      </c>
      <c r="K17" s="9">
        <v>128019521.00000001</v>
      </c>
      <c r="L17" s="9">
        <v>33</v>
      </c>
      <c r="M17" s="9">
        <v>3879379.4242424248</v>
      </c>
      <c r="N17" s="9"/>
      <c r="O17" s="9"/>
      <c r="P17" s="9"/>
    </row>
    <row r="18" spans="10:16" x14ac:dyDescent="0.25">
      <c r="J18" s="9"/>
      <c r="K18" s="9"/>
      <c r="L18" s="9"/>
      <c r="M18" s="9"/>
      <c r="N18" s="9"/>
      <c r="O18" s="9"/>
      <c r="P18" s="9"/>
    </row>
    <row r="19" spans="10:16" ht="15.75" thickBot="1" x14ac:dyDescent="0.3">
      <c r="J19" s="10" t="s">
        <v>47</v>
      </c>
      <c r="K19" s="10">
        <v>128851003</v>
      </c>
      <c r="L19" s="10">
        <v>35</v>
      </c>
      <c r="M19" s="10"/>
      <c r="N19" s="10"/>
      <c r="O19" s="10"/>
      <c r="P19" s="10"/>
    </row>
    <row r="22" spans="10:16" x14ac:dyDescent="0.25">
      <c r="J22" s="14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D1DC-E86B-4030-9959-57CA9A7CCC06}">
  <dimension ref="A1:M13"/>
  <sheetViews>
    <sheetView workbookViewId="0">
      <selection activeCell="H24" sqref="H24"/>
    </sheetView>
  </sheetViews>
  <sheetFormatPr defaultRowHeight="15" x14ac:dyDescent="0.25"/>
  <cols>
    <col min="9" max="9" width="20.85546875" bestFit="1" customWidth="1"/>
    <col min="10" max="10" width="2.5703125" style="18" customWidth="1"/>
    <col min="11" max="11" width="20.85546875" bestFit="1" customWidth="1"/>
    <col min="12" max="12" width="2.140625" style="18" customWidth="1"/>
    <col min="13" max="13" width="20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I1" s="16" t="s">
        <v>49</v>
      </c>
      <c r="J1" s="15"/>
      <c r="K1" s="16" t="s">
        <v>50</v>
      </c>
      <c r="L1" s="15"/>
      <c r="M1" s="17" t="s">
        <v>51</v>
      </c>
    </row>
    <row r="2" spans="1:13" x14ac:dyDescent="0.25">
      <c r="A2">
        <v>2019</v>
      </c>
      <c r="B2" t="s">
        <v>5</v>
      </c>
      <c r="C2">
        <v>5674</v>
      </c>
      <c r="D2">
        <v>6721</v>
      </c>
      <c r="E2">
        <v>3947</v>
      </c>
      <c r="I2">
        <f>_xlfn.COVARIANCE.S(C2:C13,D2:D13)</f>
        <v>-683142.93939393945</v>
      </c>
      <c r="J2" s="1"/>
      <c r="K2">
        <f>_xlfn.COVARIANCE.S(C2:C13,E2:E13)</f>
        <v>-274889.4848484848</v>
      </c>
      <c r="L2" s="1"/>
      <c r="M2">
        <f>_xlfn.COVARIANCE.S(D2:D13,E2:E13)</f>
        <v>-38250.030303030318</v>
      </c>
    </row>
    <row r="3" spans="1:13" x14ac:dyDescent="0.25">
      <c r="A3">
        <v>2019</v>
      </c>
      <c r="B3" t="s">
        <v>6</v>
      </c>
      <c r="C3">
        <v>3598</v>
      </c>
      <c r="D3">
        <v>9374</v>
      </c>
      <c r="E3">
        <v>7272</v>
      </c>
      <c r="J3" s="1"/>
      <c r="L3" s="1"/>
    </row>
    <row r="4" spans="1:13" x14ac:dyDescent="0.25">
      <c r="A4">
        <v>2019</v>
      </c>
      <c r="B4" t="s">
        <v>7</v>
      </c>
      <c r="C4">
        <v>8765</v>
      </c>
      <c r="D4">
        <v>9272</v>
      </c>
      <c r="E4">
        <v>5100</v>
      </c>
      <c r="J4" s="1"/>
      <c r="L4" s="1"/>
    </row>
    <row r="5" spans="1:13" x14ac:dyDescent="0.25">
      <c r="A5">
        <v>2019</v>
      </c>
      <c r="B5" t="s">
        <v>8</v>
      </c>
      <c r="C5">
        <v>4539</v>
      </c>
      <c r="D5">
        <v>6473</v>
      </c>
      <c r="E5">
        <v>4545</v>
      </c>
      <c r="J5" s="1"/>
      <c r="L5" s="1"/>
    </row>
    <row r="6" spans="1:13" x14ac:dyDescent="0.25">
      <c r="A6">
        <v>2020</v>
      </c>
      <c r="B6" t="s">
        <v>5</v>
      </c>
      <c r="C6">
        <v>6238</v>
      </c>
      <c r="D6">
        <v>3948</v>
      </c>
      <c r="E6">
        <v>6512</v>
      </c>
    </row>
    <row r="7" spans="1:13" x14ac:dyDescent="0.25">
      <c r="A7">
        <v>2020</v>
      </c>
      <c r="B7" t="s">
        <v>6</v>
      </c>
      <c r="C7">
        <v>8728</v>
      </c>
      <c r="D7">
        <v>7972</v>
      </c>
      <c r="E7">
        <v>5623</v>
      </c>
    </row>
    <row r="8" spans="1:13" x14ac:dyDescent="0.25">
      <c r="A8">
        <v>2020</v>
      </c>
      <c r="B8" t="s">
        <v>7</v>
      </c>
      <c r="C8">
        <v>4589</v>
      </c>
      <c r="D8">
        <v>9224</v>
      </c>
      <c r="E8">
        <v>8639</v>
      </c>
    </row>
    <row r="9" spans="1:13" x14ac:dyDescent="0.25">
      <c r="A9">
        <v>2020</v>
      </c>
      <c r="B9" t="s">
        <v>8</v>
      </c>
      <c r="C9">
        <v>6098</v>
      </c>
      <c r="D9">
        <v>2315</v>
      </c>
      <c r="E9">
        <v>5000</v>
      </c>
    </row>
    <row r="10" spans="1:13" x14ac:dyDescent="0.25">
      <c r="A10">
        <v>2021</v>
      </c>
      <c r="B10" t="s">
        <v>5</v>
      </c>
      <c r="C10">
        <v>7312</v>
      </c>
      <c r="D10">
        <v>8665</v>
      </c>
      <c r="E10">
        <v>5041</v>
      </c>
    </row>
    <row r="11" spans="1:13" x14ac:dyDescent="0.25">
      <c r="A11">
        <v>2021</v>
      </c>
      <c r="B11" t="s">
        <v>6</v>
      </c>
      <c r="C11">
        <v>8361</v>
      </c>
      <c r="D11">
        <v>4629</v>
      </c>
      <c r="E11">
        <v>7371</v>
      </c>
    </row>
    <row r="12" spans="1:13" x14ac:dyDescent="0.25">
      <c r="A12">
        <v>2021</v>
      </c>
      <c r="B12" t="s">
        <v>7</v>
      </c>
      <c r="C12">
        <v>5343</v>
      </c>
      <c r="D12">
        <v>5126</v>
      </c>
      <c r="E12">
        <v>6777</v>
      </c>
    </row>
    <row r="13" spans="1:13" x14ac:dyDescent="0.25">
      <c r="A13">
        <v>2021</v>
      </c>
      <c r="B13" t="s">
        <v>8</v>
      </c>
      <c r="C13">
        <v>8265</v>
      </c>
      <c r="D13">
        <v>3341</v>
      </c>
      <c r="E13">
        <v>7609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OG SALES DATA</vt:lpstr>
      <vt:lpstr>MOVING AVERAGE</vt:lpstr>
      <vt:lpstr>HYPOTHESIS TESTING</vt:lpstr>
      <vt:lpstr>ANOVA</vt:lpstr>
      <vt:lpstr>COVARIANCE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charlotte brranch</cp:lastModifiedBy>
  <dcterms:created xsi:type="dcterms:W3CDTF">2026-09-03T22:44:53Z</dcterms:created>
  <dcterms:modified xsi:type="dcterms:W3CDTF">2026-09-08T23:18:23Z</dcterms:modified>
</cp:coreProperties>
</file>